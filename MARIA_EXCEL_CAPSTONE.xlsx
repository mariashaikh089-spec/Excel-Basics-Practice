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f4c713a28193d1/"/>
    </mc:Choice>
  </mc:AlternateContent>
  <xr:revisionPtr revIDLastSave="0" documentId="8_{6D42121C-7000-4919-AFA2-E20E1D9452AA}" xr6:coauthVersionLast="47" xr6:coauthVersionMax="47" xr10:uidLastSave="{00000000-0000-0000-0000-000000000000}"/>
  <bookViews>
    <workbookView xWindow="2160" yWindow="1428" windowWidth="20124" windowHeight="10692" xr2:uid="{A9E3FC88-2445-420A-9E1F-20769D62579B}"/>
  </bookViews>
  <sheets>
    <sheet name="Raw Orders" sheetId="1" r:id="rId1"/>
    <sheet name="Master Customers" sheetId="2" r:id="rId2"/>
    <sheet name="Product Catalog" sheetId="3" r:id="rId3"/>
    <sheet name="Master Customers Query" sheetId="5" r:id="rId4"/>
    <sheet name="Product Catalog Query" sheetId="6" r:id="rId5"/>
    <sheet name="Clean Data Warehouse" sheetId="4" r:id="rId6"/>
    <sheet name="Pivot Analysis" sheetId="7" r:id="rId7"/>
    <sheet name="Executive Dashboard" sheetId="8" r:id="rId8"/>
  </sheets>
  <definedNames>
    <definedName name="ExternalData_1" localSheetId="5" hidden="1">'Clean Data Warehouse'!$A$1:$G$8</definedName>
    <definedName name="ExternalData_1" localSheetId="3" hidden="1">'Master Customers Query'!$A$1:$C$6</definedName>
    <definedName name="ExternalData_1" localSheetId="4" hidden="1">'Product Catalog Query'!$A$1:$B$4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8" l="1"/>
  <c r="C2" i="8"/>
  <c r="A2" i="8"/>
  <c r="J6" i="4"/>
  <c r="J2" i="4"/>
  <c r="J3" i="4"/>
  <c r="J4" i="4"/>
  <c r="J5" i="4"/>
  <c r="J7" i="4"/>
  <c r="J8" i="4"/>
  <c r="I2" i="4"/>
  <c r="I3" i="4"/>
  <c r="I4" i="4"/>
  <c r="I5" i="4"/>
  <c r="I6" i="4"/>
  <c r="I7" i="4"/>
  <c r="I8" i="4"/>
  <c r="H2" i="4"/>
  <c r="H3" i="4"/>
  <c r="H4" i="4"/>
  <c r="H5" i="4"/>
  <c r="H6" i="4"/>
  <c r="H7" i="4"/>
  <c r="H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E01491-2318-4F2D-91D3-AED2671B34EB}" keepAlive="1" name="Query - Clean Data Warehouse" description="Connection to the 'Clean Data Warehouse' query in the workbook." type="5" refreshedVersion="8" background="1" saveData="1">
    <dbPr connection="Provider=Microsoft.Mashup.OleDb.1;Data Source=$Workbook$;Location=&quot;Clean Data Warehouse&quot;;Extended Properties=&quot;&quot;" command="SELECT * FROM [Clean Data Warehouse]"/>
  </connection>
  <connection id="2" xr16:uid="{9694D480-7BF2-4BE4-BD11-71FB85538FD6}" keepAlive="1" name="Query - Master Customers Query" description="Connection to the 'Master Customers Query' query in the workbook." type="5" refreshedVersion="8" background="1" saveData="1">
    <dbPr connection="Provider=Microsoft.Mashup.OleDb.1;Data Source=$Workbook$;Location=&quot;Master Customers Query&quot;;Extended Properties=&quot;&quot;" command="SELECT * FROM [Master Customers Query]"/>
  </connection>
  <connection id="3" xr16:uid="{DC4EF2F8-371D-4616-9B03-FB581AC964B7}" keepAlive="1" name="Query - Product Catalog Query" description="Connection to the 'Product Catalog Query' query in the workbook." type="5" refreshedVersion="8" background="1" saveData="1">
    <dbPr connection="Provider=Microsoft.Mashup.OleDb.1;Data Source=$Workbook$;Location=&quot;Product Catalog Query&quot;;Extended Properties=&quot;&quot;" command="SELECT * FROM [Product Catalog Query]"/>
  </connection>
</connections>
</file>

<file path=xl/sharedStrings.xml><?xml version="1.0" encoding="utf-8"?>
<sst xmlns="http://schemas.openxmlformats.org/spreadsheetml/2006/main" count="143" uniqueCount="45">
  <si>
    <t>Order_ID</t>
  </si>
  <si>
    <t>Customer_ID</t>
  </si>
  <si>
    <t>Product_Code</t>
  </si>
  <si>
    <t>Units_Sold</t>
  </si>
  <si>
    <t>TXN-101</t>
  </si>
  <si>
    <t>C-901</t>
  </si>
  <si>
    <t>PROD-9921-X</t>
  </si>
  <si>
    <t>TXN-102</t>
  </si>
  <si>
    <t>C-904</t>
  </si>
  <si>
    <t>PROD-4012-M</t>
  </si>
  <si>
    <t>TXN-103</t>
  </si>
  <si>
    <t>C-902</t>
  </si>
  <si>
    <t>TXN-104</t>
  </si>
  <si>
    <t>PROD-8815-S</t>
  </si>
  <si>
    <t>TXN-105</t>
  </si>
  <si>
    <t>C-903</t>
  </si>
  <si>
    <t>TXN-106</t>
  </si>
  <si>
    <t>TXN-107</t>
  </si>
  <si>
    <t>C-905</t>
  </si>
  <si>
    <t>Customer_Name</t>
  </si>
  <si>
    <t>Region</t>
  </si>
  <si>
    <t>Acme Retail</t>
  </si>
  <si>
    <t>North</t>
  </si>
  <si>
    <t>Nexus Logistics</t>
  </si>
  <si>
    <t>West</t>
  </si>
  <si>
    <t>Apex Systems</t>
  </si>
  <si>
    <t>East</t>
  </si>
  <si>
    <t>Beacon Tech</t>
  </si>
  <si>
    <t>South</t>
  </si>
  <si>
    <t>Horizon Group</t>
  </si>
  <si>
    <t>Base_Price</t>
  </si>
  <si>
    <t>Base _Price</t>
  </si>
  <si>
    <t>Product_ Type</t>
  </si>
  <si>
    <t>Gross_ Revenue</t>
  </si>
  <si>
    <t>Order_ Tier</t>
  </si>
  <si>
    <t>Row Labels</t>
  </si>
  <si>
    <t>Grand Total</t>
  </si>
  <si>
    <t>Column Labels</t>
  </si>
  <si>
    <t>High-Value</t>
  </si>
  <si>
    <t>Low-Value</t>
  </si>
  <si>
    <t>Standard</t>
  </si>
  <si>
    <t>Sum of Gross_ Revenue</t>
  </si>
  <si>
    <t>TOTAL REVENUE=</t>
  </si>
  <si>
    <t>TOTAL ORDER COUNT=</t>
  </si>
  <si>
    <t>TOTAL UNITS SOLD=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</si>
</sst>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2" borderId="0" xfId="0" applyFont="1" applyFill="1"/>
    <xf numFmtId="0" fontId="3" fillId="0" borderId="0" xfId="0" applyFont="1" applyAlignment="1">
      <alignment horizontal="center"/>
    </xf>
  </cellXfs>
  <cellStyles count="1">
    <cellStyle name="Normal" xfId="0" builtinId="0"/>
  </cellStyles>
  <dxfs count="39">
    <dxf>
      <font>
        <b/>
        <i/>
        <color theme="1" tint="4.9989318521683403E-2"/>
      </font>
    </dxf>
    <dxf>
      <font>
        <b/>
        <i/>
        <color theme="8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[MARIA_EXCEL_CAPSTONE.xlsx]Pivot Analysis!PivotTable2</c:name>
    <c:fmtId val="4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REVENUE PERFORMANCE BY REGION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Analysis'!$G$4:$G$8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Analysis'!$H$4:$H$8</c:f>
              <c:numCache>
                <c:formatCode>General</c:formatCode>
                <c:ptCount val="4"/>
                <c:pt idx="0">
                  <c:v>45</c:v>
                </c:pt>
                <c:pt idx="1">
                  <c:v>1430</c:v>
                </c:pt>
                <c:pt idx="2">
                  <c:v>540</c:v>
                </c:pt>
                <c:pt idx="3">
                  <c:v>2175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91-4FA4-BAD7-61C38822CC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2878063"/>
        <c:axId val="102138799"/>
      </c:barChart>
      <c:catAx>
        <c:axId val="24287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38799"/>
        <c:crosses val="autoZero"/>
        <c:auto val="1"/>
        <c:lblAlgn val="ctr"/>
        <c:lblOffset val="100"/>
        <c:noMultiLvlLbl val="0"/>
      </c:catAx>
      <c:valAx>
        <c:axId val="102138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87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739140</xdr:colOff>
      <xdr:row>3</xdr:row>
      <xdr:rowOff>45720</xdr:rowOff>
    </xdr:from>
    <xdr:to>
      <xdr:col>4</xdr:col>
      <xdr:colOff>1744980</xdr:colOff>
      <xdr:row>18</xdr:row>
      <xdr:rowOff>144780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AA928BC-B3FC-4EC3-8CAE-F6972B07A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ya Shaikh" refreshedDate="46313.888109722226" createdVersion="8" refreshedVersion="8" minRefreshableVersion="3" recordCount="7" xr:uid="{C379B667-FFA7-4AFB-A962-2CAB78016524}">
  <cacheSource type="worksheet">
    <worksheetSource name="Clean_Data_Warehouse"/>
  </cacheSource>
  <cacheFields count="10">
    <cacheField name="Order_ID" numFmtId="2">
      <sharedItems/>
    </cacheField>
    <cacheField name="Customer_ID" numFmtId="0">
      <sharedItems/>
    </cacheField>
    <cacheField name="Product_Code" numFmtId="0">
      <sharedItems/>
    </cacheField>
    <cacheField name="Units_Sold" numFmtId="0">
      <sharedItems containsSemiMixedTypes="0" containsString="0" containsNumber="1" containsInteger="1" minValue="1" maxValue="15"/>
    </cacheField>
    <cacheField name="Customer_Name" numFmtId="0">
      <sharedItems count="5">
        <s v="Acme Retail"/>
        <s v="Nexus Logistics"/>
        <s v="Beacon Tech"/>
        <s v="Apex Systems"/>
        <s v="Horizon Group"/>
      </sharedItems>
    </cacheField>
    <cacheField name="Region" numFmtId="0">
      <sharedItems count="4">
        <s v="North"/>
        <s v="West"/>
        <s v="South"/>
        <s v="East"/>
      </sharedItems>
    </cacheField>
    <cacheField name="Base _Price" numFmtId="0">
      <sharedItems containsSemiMixedTypes="0" containsString="0" containsNumber="1" containsInteger="1" minValue="45" maxValue="150"/>
    </cacheField>
    <cacheField name="Product_ Type" numFmtId="0">
      <sharedItems/>
    </cacheField>
    <cacheField name="Gross_ Revenue" numFmtId="0">
      <sharedItems containsSemiMixedTypes="0" containsString="0" containsNumber="1" containsInteger="1" minValue="45" maxValue="1275"/>
    </cacheField>
    <cacheField name="Order_ Tier" numFmtId="0">
      <sharedItems count="3">
        <s v="Standard"/>
        <s v="High-Value"/>
        <s v="Low-Val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TXN-101"/>
    <s v="C-901"/>
    <s v="PROD-9921-X"/>
    <n v="5"/>
    <x v="0"/>
    <x v="0"/>
    <n v="150"/>
    <s v="9921"/>
    <n v="750"/>
    <x v="0"/>
  </r>
  <r>
    <s v="TXN-103"/>
    <s v="C-902"/>
    <s v="PROD-9921-X"/>
    <n v="2"/>
    <x v="1"/>
    <x v="1"/>
    <n v="150"/>
    <s v="9921"/>
    <n v="300"/>
    <x v="0"/>
  </r>
  <r>
    <s v="TXN-104"/>
    <s v="C-901"/>
    <s v="PROD-8815-S"/>
    <n v="8"/>
    <x v="0"/>
    <x v="0"/>
    <n v="85"/>
    <s v="8815"/>
    <n v="680"/>
    <x v="0"/>
  </r>
  <r>
    <s v="TXN-102"/>
    <s v="C-904"/>
    <s v="PROD-4012-M"/>
    <n v="12"/>
    <x v="2"/>
    <x v="2"/>
    <n v="45"/>
    <s v="4012"/>
    <n v="540"/>
    <x v="0"/>
  </r>
  <r>
    <s v="TXN-106"/>
    <s v="C-902"/>
    <s v="PROD-8815-S"/>
    <n v="15"/>
    <x v="1"/>
    <x v="1"/>
    <n v="85"/>
    <s v="8815"/>
    <n v="1275"/>
    <x v="1"/>
  </r>
  <r>
    <s v="TXN-105"/>
    <s v="C-903"/>
    <s v="PROD-4012-M"/>
    <n v="1"/>
    <x v="3"/>
    <x v="3"/>
    <n v="45"/>
    <s v="4012"/>
    <n v="45"/>
    <x v="2"/>
  </r>
  <r>
    <s v="TXN-107"/>
    <s v="C-905"/>
    <s v="PROD-9921-X"/>
    <n v="4"/>
    <x v="4"/>
    <x v="1"/>
    <n v="150"/>
    <s v="9921"/>
    <n v="6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DDA8C-9CCC-4CCF-8E47-8B1C80D08CA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4" firstHeaderRow="1" firstDataRow="2" firstDataCol="1"/>
  <pivotFields count="10">
    <pivotField showAll="0"/>
    <pivotField showAll="0"/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dataField="1" showAll="0"/>
    <pivotField axis="axisCol" showAll="0">
      <items count="4">
        <item x="1"/>
        <item x="2"/>
        <item x="0"/>
        <item t="default"/>
      </items>
    </pivotField>
  </pivotFields>
  <rowFields count="2">
    <field x="5"/>
    <field x="4"/>
  </rowFields>
  <rowItems count="10">
    <i>
      <x/>
    </i>
    <i r="1">
      <x v="1"/>
    </i>
    <i>
      <x v="1"/>
    </i>
    <i r="1">
      <x/>
    </i>
    <i>
      <x v="2"/>
    </i>
    <i r="1">
      <x v="2"/>
    </i>
    <i>
      <x v="3"/>
    </i>
    <i r="1">
      <x v="3"/>
    </i>
    <i r="1">
      <x v="4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Gross_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8BC78-519E-46B7-AE48-966E64F86A1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9">
  <location ref="G3:H8" firstHeaderRow="1" firstDataRow="1" firstDataCol="1"/>
  <pivotFields count="10">
    <pivotField showAll="0"/>
    <pivotField showAll="0"/>
    <pivotField showAll="0"/>
    <pivotField showAll="0"/>
    <pivotField showAll="0">
      <items count="6">
        <item x="0"/>
        <item x="3"/>
        <item x="2"/>
        <item x="4"/>
        <item x="1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dataField="1" showAll="0"/>
    <pivotField showAll="0">
      <items count="4">
        <item x="1"/>
        <item x="2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Gross_ Revenue" fld="8" baseField="0" baseItem="0"/>
  </dataFields>
  <chartFormats count="1">
    <chartFormat chart="4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7FF7E77-2C23-4765-8ECA-36C5813F49FE}" autoFormatId="16" applyNumberFormats="0" applyBorderFormats="0" applyFontFormats="0" applyPatternFormats="0" applyAlignmentFormats="0" applyWidthHeightFormats="0">
  <queryTableRefresh nextId="4">
    <queryTableFields count="3">
      <queryTableField id="1" name="Customer_ID" tableColumnId="1"/>
      <queryTableField id="2" name="Customer_Name" tableColumnId="2"/>
      <queryTableField id="3" name="Region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05C308F-559B-421E-84FF-E0CFAD1EA2EF}" autoFormatId="16" applyNumberFormats="0" applyBorderFormats="0" applyFontFormats="0" applyPatternFormats="0" applyAlignmentFormats="0" applyWidthHeightFormats="0">
  <queryTableRefresh nextId="3">
    <queryTableFields count="2">
      <queryTableField id="1" name="Base_Price" tableColumnId="1"/>
      <queryTableField id="2" name="Product_Cod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F96F53-5D22-45FC-B7E2-A1576B1ED7B5}" autoFormatId="16" applyNumberFormats="0" applyBorderFormats="0" applyFontFormats="0" applyPatternFormats="0" applyAlignmentFormats="0" applyWidthHeightFormats="0">
  <queryTableRefresh nextId="11" unboundColumnsRight="3">
    <queryTableFields count="10">
      <queryTableField id="1" name="Order_ID" tableColumnId="1"/>
      <queryTableField id="2" name="Customer_ID" tableColumnId="2"/>
      <queryTableField id="3" name="Product_Code" tableColumnId="3"/>
      <queryTableField id="4" name="Units_Sold" tableColumnId="4"/>
      <queryTableField id="5" name="Customer_Name" tableColumnId="5"/>
      <queryTableField id="6" name="Region" tableColumnId="6"/>
      <queryTableField id="7" name="Base_Price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4E453F-0948-4995-8BB0-E563262EDCFC}" name="Orders" displayName="Orders" ref="A2:D9" totalsRowShown="0" headerRowDxfId="38" dataDxfId="37">
  <autoFilter ref="A2:D9" xr:uid="{B04E453F-0948-4995-8BB0-E563262EDCFC}"/>
  <tableColumns count="4">
    <tableColumn id="1" xr3:uid="{4DD79853-FF42-45DE-B73B-4D45FA59B4B1}" name="Order_ID" dataDxfId="36"/>
    <tableColumn id="2" xr3:uid="{BFCB29E9-0AF3-4290-BCF2-CD01830E5818}" name="Customer_ID" dataDxfId="35"/>
    <tableColumn id="3" xr3:uid="{C99C98E1-A02C-44E1-AFD6-96CFA8F02E61}" name="Product_Code" dataDxfId="34"/>
    <tableColumn id="4" xr3:uid="{FBB79F06-2973-4629-AF42-B4FC1E0196C9}" name="Units_Sold" dataDxfId="33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22BC4F-620C-477A-8361-5A2CF871150D}" name="Customers" displayName="Customers" ref="A2:C7" totalsRowShown="0" dataDxfId="32">
  <autoFilter ref="A2:C7" xr:uid="{4922BC4F-620C-477A-8361-5A2CF871150D}"/>
  <tableColumns count="3">
    <tableColumn id="1" xr3:uid="{C05D90F1-DCBB-4ED0-A5FE-2846167EA717}" name="Customer_ID" dataDxfId="31"/>
    <tableColumn id="2" xr3:uid="{5DD3315D-31C6-40D8-AD9B-00BC7D27056B}" name="Customer_Name" dataDxfId="30"/>
    <tableColumn id="3" xr3:uid="{8B2A007E-A98D-4200-8B8C-58B3DCDAF43D}" name="Region" dataDxfId="29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3FB384-FBBD-4928-9A4B-42AEF92F8162}" name="Products" displayName="Products" ref="A2:B5" totalsRowShown="0" headerRowDxfId="28" dataDxfId="27">
  <autoFilter ref="A2:B5" xr:uid="{D93FB384-FBBD-4928-9A4B-42AEF92F8162}"/>
  <tableColumns count="2">
    <tableColumn id="1" xr3:uid="{8728BD2B-7AEE-4839-AC06-FB57254D82DA}" name="Base_Price" dataDxfId="26"/>
    <tableColumn id="2" xr3:uid="{1429086E-BD23-4776-A7A0-EAFE275BD7DE}" name="Product_Code" dataDxfId="25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6D1777-34E0-4281-B5C5-5FC01612DD18}" name="Master_Customers_Query" displayName="Master_Customers_Query" ref="A1:C6" tableType="queryTable" totalsRowShown="0" headerRowDxfId="24" dataDxfId="23">
  <autoFilter ref="A1:C6" xr:uid="{286D1777-34E0-4281-B5C5-5FC01612DD18}"/>
  <tableColumns count="3">
    <tableColumn id="1" xr3:uid="{418A7B8E-543C-49A0-9B4E-E56AF3FFB10A}" uniqueName="1" name="Customer_ID" queryTableFieldId="1" dataDxfId="22"/>
    <tableColumn id="2" xr3:uid="{3234FFC5-0158-4C84-A3E4-B6B84763347E}" uniqueName="2" name="Customer_Name" queryTableFieldId="2" dataDxfId="21"/>
    <tableColumn id="3" xr3:uid="{8E4AEF66-A80E-4870-96FB-556655FCE8B7}" uniqueName="3" name="Region" queryTableFieldId="3" dataDxfId="2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12C2F2-CFB0-485C-A952-0FB7BC0D0694}" name="Product_Catalog_Query" displayName="Product_Catalog_Query" ref="A1:B4" tableType="queryTable" totalsRowShown="0" headerRowDxfId="19" dataDxfId="18">
  <autoFilter ref="A1:B4" xr:uid="{2F12C2F2-CFB0-485C-A952-0FB7BC0D0694}"/>
  <tableColumns count="2">
    <tableColumn id="1" xr3:uid="{C2C2FDF1-EFC2-446B-ABA3-64F2FD336D86}" uniqueName="1" name="Base_Price" queryTableFieldId="1" dataDxfId="17"/>
    <tableColumn id="2" xr3:uid="{134982AE-5659-4C94-8CD2-170C1E491C74}" uniqueName="2" name="Product_Code" queryTableFieldId="2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39C30B-574A-4D4D-A30F-B039A6B395CB}" name="Clean_Data_Warehouse" displayName="Clean_Data_Warehouse" ref="A1:J8" tableType="queryTable" totalsRowShown="0" headerRowDxfId="15" dataDxfId="14">
  <autoFilter ref="A1:J8" xr:uid="{5939C30B-574A-4D4D-A30F-B039A6B395CB}"/>
  <tableColumns count="10">
    <tableColumn id="1" xr3:uid="{A5937961-2967-4171-BDF2-AF4E539EC3C6}" uniqueName="1" name="Order_ID" queryTableFieldId="1" dataDxfId="13"/>
    <tableColumn id="2" xr3:uid="{BEE55F27-B51B-4700-86C6-A0EE9167874A}" uniqueName="2" name="Customer_ID" queryTableFieldId="2" dataDxfId="12"/>
    <tableColumn id="3" xr3:uid="{BF342494-F1AF-4DCA-9020-9E4B39642E19}" uniqueName="3" name="Product_Code" queryTableFieldId="3" dataDxfId="11"/>
    <tableColumn id="4" xr3:uid="{B22A9856-D0F1-4B3A-BA4C-CC02968DEC26}" uniqueName="4" name="Units_Sold" queryTableFieldId="4" dataDxfId="10"/>
    <tableColumn id="5" xr3:uid="{9B421A8E-3BEA-422C-8132-3C5C426A0A26}" uniqueName="5" name="Customer_Name" queryTableFieldId="5" dataDxfId="9"/>
    <tableColumn id="6" xr3:uid="{A81D73A5-9896-4D8F-A689-6CE4D4374AC8}" uniqueName="6" name="Region" queryTableFieldId="6" dataDxfId="8"/>
    <tableColumn id="7" xr3:uid="{B7FFC2F4-AB9F-48F0-B7E1-ECE9C4772940}" uniqueName="7" name="Base _Price" queryTableFieldId="7" dataDxfId="7"/>
    <tableColumn id="8" xr3:uid="{1350CEBA-1F88-413F-8421-1DCF73F1FFDD}" uniqueName="8" name="Product_ Type" queryTableFieldId="8" dataDxfId="6">
      <calculatedColumnFormula>MID(C2,6,4)</calculatedColumnFormula>
    </tableColumn>
    <tableColumn id="9" xr3:uid="{CC2CFFC0-CE9A-4631-99D5-973D541B4D68}" uniqueName="9" name="Gross_ Revenue" queryTableFieldId="9" dataDxfId="5">
      <calculatedColumnFormula>D2*G2</calculatedColumnFormula>
    </tableColumn>
    <tableColumn id="10" xr3:uid="{5C00CA26-A5E1-4505-A0F9-C3B58FF3E262}" uniqueName="10" name="Order_ Tier" queryTableFieldId="10" dataDxfId="4">
      <calculatedColumnFormula>IF(I2&gt;=1000,"High-Value",IF(I2&gt;=300,"Standard","Low-Value"))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7537-540A-41CA-B12B-D367D673B3BA}">
  <dimension ref="A2:D9"/>
  <sheetViews>
    <sheetView tabSelected="1" workbookViewId="0">
      <selection activeCell="B37" sqref="B37:B42"/>
    </sheetView>
  </sheetViews>
  <sheetFormatPr defaultColWidth="17.33203125" defaultRowHeight="14.4" x14ac:dyDescent="0.3"/>
  <cols>
    <col min="1" max="16384" width="17.33203125" style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4</v>
      </c>
      <c r="B3" s="1" t="s">
        <v>5</v>
      </c>
      <c r="C3" s="1" t="s">
        <v>6</v>
      </c>
      <c r="D3" s="1">
        <v>5</v>
      </c>
    </row>
    <row r="4" spans="1:4" x14ac:dyDescent="0.3">
      <c r="A4" s="1" t="s">
        <v>7</v>
      </c>
      <c r="B4" s="1" t="s">
        <v>8</v>
      </c>
      <c r="C4" s="1" t="s">
        <v>9</v>
      </c>
      <c r="D4" s="1">
        <v>12</v>
      </c>
    </row>
    <row r="5" spans="1:4" x14ac:dyDescent="0.3">
      <c r="A5" s="1" t="s">
        <v>10</v>
      </c>
      <c r="B5" s="1" t="s">
        <v>11</v>
      </c>
      <c r="C5" s="1" t="s">
        <v>6</v>
      </c>
      <c r="D5" s="1">
        <v>2</v>
      </c>
    </row>
    <row r="6" spans="1:4" x14ac:dyDescent="0.3">
      <c r="A6" s="1" t="s">
        <v>12</v>
      </c>
      <c r="B6" s="1" t="s">
        <v>5</v>
      </c>
      <c r="C6" s="1" t="s">
        <v>13</v>
      </c>
      <c r="D6" s="1">
        <v>8</v>
      </c>
    </row>
    <row r="7" spans="1:4" x14ac:dyDescent="0.3">
      <c r="A7" s="1" t="s">
        <v>14</v>
      </c>
      <c r="B7" s="1" t="s">
        <v>15</v>
      </c>
      <c r="C7" s="1" t="s">
        <v>9</v>
      </c>
      <c r="D7" s="1">
        <v>1</v>
      </c>
    </row>
    <row r="8" spans="1:4" x14ac:dyDescent="0.3">
      <c r="A8" s="1" t="s">
        <v>16</v>
      </c>
      <c r="B8" s="1" t="s">
        <v>11</v>
      </c>
      <c r="C8" s="1" t="s">
        <v>13</v>
      </c>
      <c r="D8" s="1">
        <v>15</v>
      </c>
    </row>
    <row r="9" spans="1:4" x14ac:dyDescent="0.3">
      <c r="A9" s="1" t="s">
        <v>17</v>
      </c>
      <c r="B9" s="1" t="s">
        <v>18</v>
      </c>
      <c r="C9" s="1" t="s">
        <v>6</v>
      </c>
      <c r="D9" s="1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351DA-B9EA-473F-87F7-B89AAA8DB57E}">
  <dimension ref="A2:C7"/>
  <sheetViews>
    <sheetView workbookViewId="0">
      <selection activeCell="C8" sqref="C8"/>
    </sheetView>
  </sheetViews>
  <sheetFormatPr defaultColWidth="19.6640625" defaultRowHeight="14.4" x14ac:dyDescent="0.3"/>
  <cols>
    <col min="1" max="16384" width="19.6640625" style="1"/>
  </cols>
  <sheetData>
    <row r="2" spans="1:3" x14ac:dyDescent="0.3">
      <c r="A2" s="2" t="s">
        <v>1</v>
      </c>
      <c r="B2" s="1" t="s">
        <v>19</v>
      </c>
      <c r="C2" s="1" t="s">
        <v>20</v>
      </c>
    </row>
    <row r="3" spans="1:3" x14ac:dyDescent="0.3">
      <c r="A3" s="1" t="s">
        <v>5</v>
      </c>
      <c r="B3" s="1" t="s">
        <v>21</v>
      </c>
      <c r="C3" s="1" t="s">
        <v>22</v>
      </c>
    </row>
    <row r="4" spans="1:3" x14ac:dyDescent="0.3">
      <c r="A4" s="1" t="s">
        <v>11</v>
      </c>
      <c r="B4" s="1" t="s">
        <v>23</v>
      </c>
      <c r="C4" s="1" t="s">
        <v>24</v>
      </c>
    </row>
    <row r="5" spans="1:3" x14ac:dyDescent="0.3">
      <c r="A5" s="1" t="s">
        <v>15</v>
      </c>
      <c r="B5" s="1" t="s">
        <v>25</v>
      </c>
      <c r="C5" s="1" t="s">
        <v>26</v>
      </c>
    </row>
    <row r="6" spans="1:3" x14ac:dyDescent="0.3">
      <c r="A6" s="1" t="s">
        <v>8</v>
      </c>
      <c r="B6" s="1" t="s">
        <v>27</v>
      </c>
      <c r="C6" s="1" t="s">
        <v>28</v>
      </c>
    </row>
    <row r="7" spans="1:3" x14ac:dyDescent="0.3">
      <c r="A7" s="1" t="s">
        <v>18</v>
      </c>
      <c r="B7" s="1" t="s">
        <v>29</v>
      </c>
      <c r="C7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6BDF8-285E-40E1-90A8-860B60474928}">
  <dimension ref="A2:B5"/>
  <sheetViews>
    <sheetView workbookViewId="0">
      <selection activeCell="A6" sqref="A6"/>
    </sheetView>
  </sheetViews>
  <sheetFormatPr defaultColWidth="17.109375" defaultRowHeight="14.4" x14ac:dyDescent="0.3"/>
  <cols>
    <col min="1" max="16384" width="17.109375" style="1"/>
  </cols>
  <sheetData>
    <row r="2" spans="1:2" x14ac:dyDescent="0.3">
      <c r="A2" s="1" t="s">
        <v>30</v>
      </c>
      <c r="B2" s="1" t="s">
        <v>2</v>
      </c>
    </row>
    <row r="3" spans="1:2" x14ac:dyDescent="0.3">
      <c r="A3" s="1">
        <v>150</v>
      </c>
      <c r="B3" s="1" t="s">
        <v>6</v>
      </c>
    </row>
    <row r="4" spans="1:2" x14ac:dyDescent="0.3">
      <c r="A4" s="1">
        <v>45</v>
      </c>
      <c r="B4" s="1" t="s">
        <v>9</v>
      </c>
    </row>
    <row r="5" spans="1:2" x14ac:dyDescent="0.3">
      <c r="A5" s="1">
        <v>85</v>
      </c>
      <c r="B5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4619-930C-4392-8787-15A6B98B2142}">
  <dimension ref="A1:C6"/>
  <sheetViews>
    <sheetView workbookViewId="0">
      <selection activeCell="D1" sqref="D1"/>
    </sheetView>
  </sheetViews>
  <sheetFormatPr defaultColWidth="19.21875" defaultRowHeight="14.4" x14ac:dyDescent="0.3"/>
  <cols>
    <col min="1" max="16384" width="19.21875" style="1"/>
  </cols>
  <sheetData>
    <row r="1" spans="1:3" x14ac:dyDescent="0.3">
      <c r="A1" s="1" t="s">
        <v>1</v>
      </c>
      <c r="B1" s="1" t="s">
        <v>19</v>
      </c>
      <c r="C1" s="1" t="s">
        <v>20</v>
      </c>
    </row>
    <row r="2" spans="1:3" x14ac:dyDescent="0.3">
      <c r="A2" s="1" t="s">
        <v>5</v>
      </c>
      <c r="B2" s="1" t="s">
        <v>21</v>
      </c>
      <c r="C2" s="1" t="s">
        <v>22</v>
      </c>
    </row>
    <row r="3" spans="1:3" x14ac:dyDescent="0.3">
      <c r="A3" s="1" t="s">
        <v>11</v>
      </c>
      <c r="B3" s="1" t="s">
        <v>23</v>
      </c>
      <c r="C3" s="1" t="s">
        <v>24</v>
      </c>
    </row>
    <row r="4" spans="1:3" x14ac:dyDescent="0.3">
      <c r="A4" s="1" t="s">
        <v>15</v>
      </c>
      <c r="B4" s="1" t="s">
        <v>25</v>
      </c>
      <c r="C4" s="1" t="s">
        <v>26</v>
      </c>
    </row>
    <row r="5" spans="1:3" x14ac:dyDescent="0.3">
      <c r="A5" s="1" t="s">
        <v>8</v>
      </c>
      <c r="B5" s="1" t="s">
        <v>27</v>
      </c>
      <c r="C5" s="1" t="s">
        <v>28</v>
      </c>
    </row>
    <row r="6" spans="1:3" x14ac:dyDescent="0.3">
      <c r="A6" s="1" t="s">
        <v>18</v>
      </c>
      <c r="B6" s="1" t="s">
        <v>29</v>
      </c>
      <c r="C6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7B65-D39A-41CF-A517-F2272A52F3A6}">
  <dimension ref="A1:B4"/>
  <sheetViews>
    <sheetView workbookViewId="0">
      <selection activeCell="C1" sqref="C1"/>
    </sheetView>
  </sheetViews>
  <sheetFormatPr defaultColWidth="17.33203125" defaultRowHeight="14.4" x14ac:dyDescent="0.3"/>
  <cols>
    <col min="1" max="16384" width="17.33203125" style="1"/>
  </cols>
  <sheetData>
    <row r="1" spans="1:2" x14ac:dyDescent="0.3">
      <c r="A1" s="1" t="s">
        <v>30</v>
      </c>
      <c r="B1" s="1" t="s">
        <v>2</v>
      </c>
    </row>
    <row r="2" spans="1:2" x14ac:dyDescent="0.3">
      <c r="A2" s="1">
        <v>150</v>
      </c>
      <c r="B2" s="1" t="s">
        <v>6</v>
      </c>
    </row>
    <row r="3" spans="1:2" x14ac:dyDescent="0.3">
      <c r="A3" s="1">
        <v>45</v>
      </c>
      <c r="B3" s="1" t="s">
        <v>9</v>
      </c>
    </row>
    <row r="4" spans="1:2" x14ac:dyDescent="0.3">
      <c r="A4" s="1">
        <v>85</v>
      </c>
      <c r="B4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E9C78-12A8-40E2-B16F-E46AAF15CD6F}">
  <dimension ref="A1:J8"/>
  <sheetViews>
    <sheetView workbookViewId="0">
      <selection activeCell="K2" sqref="K2"/>
    </sheetView>
  </sheetViews>
  <sheetFormatPr defaultColWidth="18.21875" defaultRowHeight="14.4" x14ac:dyDescent="0.3"/>
  <cols>
    <col min="1" max="1" width="18.21875" style="5"/>
    <col min="2" max="16384" width="18.21875" style="1"/>
  </cols>
  <sheetData>
    <row r="1" spans="1:10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19</v>
      </c>
      <c r="F1" s="4" t="s">
        <v>20</v>
      </c>
      <c r="G1" s="4" t="s">
        <v>31</v>
      </c>
      <c r="H1" s="4" t="s">
        <v>32</v>
      </c>
      <c r="I1" s="4" t="s">
        <v>33</v>
      </c>
      <c r="J1" s="4" t="s">
        <v>34</v>
      </c>
    </row>
    <row r="2" spans="1:10" x14ac:dyDescent="0.3">
      <c r="A2" s="5" t="s">
        <v>4</v>
      </c>
      <c r="B2" s="1" t="s">
        <v>5</v>
      </c>
      <c r="C2" s="1" t="s">
        <v>6</v>
      </c>
      <c r="D2" s="1">
        <v>5</v>
      </c>
      <c r="E2" s="1" t="s">
        <v>21</v>
      </c>
      <c r="F2" s="1" t="s">
        <v>22</v>
      </c>
      <c r="G2" s="1">
        <v>150</v>
      </c>
      <c r="H2" s="1" t="str">
        <f t="shared" ref="H2:H8" si="0">MID(C2,6,4)</f>
        <v>9921</v>
      </c>
      <c r="I2" s="1">
        <f t="shared" ref="I2:I8" si="1">D2*G2</f>
        <v>750</v>
      </c>
      <c r="J2" s="1" t="str">
        <f t="shared" ref="J2:J8" si="2">IF(I2&gt;=1000,"High-Value",IF(I2&gt;=300,"Standard","Low-Value"))</f>
        <v>Standard</v>
      </c>
    </row>
    <row r="3" spans="1:10" x14ac:dyDescent="0.3">
      <c r="A3" s="5" t="s">
        <v>10</v>
      </c>
      <c r="B3" s="1" t="s">
        <v>11</v>
      </c>
      <c r="C3" s="1" t="s">
        <v>6</v>
      </c>
      <c r="D3" s="1">
        <v>2</v>
      </c>
      <c r="E3" s="1" t="s">
        <v>23</v>
      </c>
      <c r="F3" s="1" t="s">
        <v>24</v>
      </c>
      <c r="G3" s="1">
        <v>150</v>
      </c>
      <c r="H3" s="1" t="str">
        <f t="shared" si="0"/>
        <v>9921</v>
      </c>
      <c r="I3" s="1">
        <f t="shared" si="1"/>
        <v>300</v>
      </c>
      <c r="J3" s="1" t="str">
        <f t="shared" si="2"/>
        <v>Standard</v>
      </c>
    </row>
    <row r="4" spans="1:10" x14ac:dyDescent="0.3">
      <c r="A4" s="5" t="s">
        <v>12</v>
      </c>
      <c r="B4" s="1" t="s">
        <v>5</v>
      </c>
      <c r="C4" s="1" t="s">
        <v>13</v>
      </c>
      <c r="D4" s="1">
        <v>8</v>
      </c>
      <c r="E4" s="1" t="s">
        <v>21</v>
      </c>
      <c r="F4" s="1" t="s">
        <v>22</v>
      </c>
      <c r="G4" s="1">
        <v>85</v>
      </c>
      <c r="H4" s="1" t="str">
        <f t="shared" si="0"/>
        <v>8815</v>
      </c>
      <c r="I4" s="1">
        <f t="shared" si="1"/>
        <v>680</v>
      </c>
      <c r="J4" s="1" t="str">
        <f t="shared" si="2"/>
        <v>Standard</v>
      </c>
    </row>
    <row r="5" spans="1:10" x14ac:dyDescent="0.3">
      <c r="A5" s="5" t="s">
        <v>7</v>
      </c>
      <c r="B5" s="1" t="s">
        <v>8</v>
      </c>
      <c r="C5" s="1" t="s">
        <v>9</v>
      </c>
      <c r="D5" s="1">
        <v>12</v>
      </c>
      <c r="E5" s="1" t="s">
        <v>27</v>
      </c>
      <c r="F5" s="1" t="s">
        <v>28</v>
      </c>
      <c r="G5" s="1">
        <v>45</v>
      </c>
      <c r="H5" s="1" t="str">
        <f t="shared" si="0"/>
        <v>4012</v>
      </c>
      <c r="I5" s="1">
        <f t="shared" si="1"/>
        <v>540</v>
      </c>
      <c r="J5" s="1" t="str">
        <f t="shared" si="2"/>
        <v>Standard</v>
      </c>
    </row>
    <row r="6" spans="1:10" x14ac:dyDescent="0.3">
      <c r="A6" s="5" t="s">
        <v>16</v>
      </c>
      <c r="B6" s="1" t="s">
        <v>11</v>
      </c>
      <c r="C6" s="1" t="s">
        <v>13</v>
      </c>
      <c r="D6" s="1">
        <v>15</v>
      </c>
      <c r="E6" s="1" t="s">
        <v>23</v>
      </c>
      <c r="F6" s="1" t="s">
        <v>24</v>
      </c>
      <c r="G6" s="1">
        <v>85</v>
      </c>
      <c r="H6" s="1" t="str">
        <f t="shared" si="0"/>
        <v>8815</v>
      </c>
      <c r="I6" s="1">
        <f t="shared" si="1"/>
        <v>1275</v>
      </c>
      <c r="J6" s="1" t="str">
        <f>IF(I6&gt;=1000,"High-Value",IF(I6&gt;=300,"Standard","Low-Value"))</f>
        <v>High-Value</v>
      </c>
    </row>
    <row r="7" spans="1:10" x14ac:dyDescent="0.3">
      <c r="A7" s="5" t="s">
        <v>14</v>
      </c>
      <c r="B7" s="1" t="s">
        <v>15</v>
      </c>
      <c r="C7" s="1" t="s">
        <v>9</v>
      </c>
      <c r="D7" s="1">
        <v>1</v>
      </c>
      <c r="E7" s="1" t="s">
        <v>25</v>
      </c>
      <c r="F7" s="1" t="s">
        <v>26</v>
      </c>
      <c r="G7" s="1">
        <v>45</v>
      </c>
      <c r="H7" s="1" t="str">
        <f t="shared" si="0"/>
        <v>4012</v>
      </c>
      <c r="I7" s="1">
        <f t="shared" si="1"/>
        <v>45</v>
      </c>
      <c r="J7" s="1" t="str">
        <f t="shared" si="2"/>
        <v>Low-Value</v>
      </c>
    </row>
    <row r="8" spans="1:10" x14ac:dyDescent="0.3">
      <c r="A8" s="5" t="s">
        <v>17</v>
      </c>
      <c r="B8" s="1" t="s">
        <v>18</v>
      </c>
      <c r="C8" s="1" t="s">
        <v>6</v>
      </c>
      <c r="D8" s="1">
        <v>4</v>
      </c>
      <c r="E8" s="1" t="s">
        <v>29</v>
      </c>
      <c r="F8" s="1" t="s">
        <v>24</v>
      </c>
      <c r="G8" s="1">
        <v>150</v>
      </c>
      <c r="H8" s="1" t="str">
        <f t="shared" si="0"/>
        <v>9921</v>
      </c>
      <c r="I8" s="1">
        <f t="shared" si="1"/>
        <v>600</v>
      </c>
      <c r="J8" s="1" t="str">
        <f t="shared" si="2"/>
        <v>Standard</v>
      </c>
    </row>
  </sheetData>
  <phoneticPr fontId="1" type="noConversion"/>
  <conditionalFormatting sqref="A2:A8">
    <cfRule type="containsText" dxfId="3" priority="3" operator="containsText" text="High-Value">
      <formula>NOT(ISERROR(SEARCH("High-Value",A2)))</formula>
    </cfRule>
    <cfRule type="containsText" dxfId="2" priority="4" operator="containsText" text="High-Value">
      <formula>NOT(ISERROR(SEARCH("High-Value",A2)))</formula>
    </cfRule>
  </conditionalFormatting>
  <conditionalFormatting sqref="J2:J8">
    <cfRule type="containsText" dxfId="1" priority="2" operator="containsText" text="High-Value">
      <formula>NOT(ISERROR(SEARCH("High-Value",J2)))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A339D9A8-FE15-490A-872D-5DF5A689FE7D}">
            <xm:f>NOT(ISERROR(SEARCH($J$6,J6)))</xm:f>
            <xm:f>$J$6</xm:f>
            <x14:dxf>
              <font>
                <b/>
                <i/>
                <color theme="1" tint="4.9989318521683403E-2"/>
              </font>
            </x14:dxf>
          </x14:cfRule>
          <xm:sqref>J6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1FB9F-4400-499D-B0C5-F31D6F1F94B6}">
  <dimension ref="A3:H14"/>
  <sheetViews>
    <sheetView workbookViewId="0">
      <selection activeCell="H8" sqref="H8"/>
    </sheetView>
  </sheetViews>
  <sheetFormatPr defaultRowHeight="14.4" x14ac:dyDescent="0.3"/>
  <cols>
    <col min="1" max="1" width="20.109375" bestFit="1" customWidth="1"/>
    <col min="2" max="2" width="15.5546875" bestFit="1" customWidth="1"/>
    <col min="3" max="3" width="9.5546875" bestFit="1" customWidth="1"/>
    <col min="4" max="4" width="8.6640625" bestFit="1" customWidth="1"/>
    <col min="5" max="5" width="10.5546875" bestFit="1" customWidth="1"/>
    <col min="7" max="7" width="12.44140625" bestFit="1" customWidth="1"/>
    <col min="8" max="8" width="20.109375" bestFit="1" customWidth="1"/>
  </cols>
  <sheetData>
    <row r="3" spans="1:8" x14ac:dyDescent="0.3">
      <c r="A3" s="6" t="s">
        <v>41</v>
      </c>
      <c r="B3" s="6" t="s">
        <v>37</v>
      </c>
      <c r="G3" s="6" t="s">
        <v>35</v>
      </c>
      <c r="H3" t="s">
        <v>41</v>
      </c>
    </row>
    <row r="4" spans="1:8" x14ac:dyDescent="0.3">
      <c r="A4" s="6" t="s">
        <v>35</v>
      </c>
      <c r="B4" t="s">
        <v>38</v>
      </c>
      <c r="C4" t="s">
        <v>39</v>
      </c>
      <c r="D4" t="s">
        <v>40</v>
      </c>
      <c r="E4" t="s">
        <v>36</v>
      </c>
      <c r="G4" s="7" t="s">
        <v>26</v>
      </c>
      <c r="H4">
        <v>45</v>
      </c>
    </row>
    <row r="5" spans="1:8" x14ac:dyDescent="0.3">
      <c r="A5" s="7" t="s">
        <v>26</v>
      </c>
      <c r="C5">
        <v>45</v>
      </c>
      <c r="E5">
        <v>45</v>
      </c>
      <c r="G5" s="7" t="s">
        <v>22</v>
      </c>
      <c r="H5">
        <v>1430</v>
      </c>
    </row>
    <row r="6" spans="1:8" x14ac:dyDescent="0.3">
      <c r="A6" s="8" t="s">
        <v>25</v>
      </c>
      <c r="C6">
        <v>45</v>
      </c>
      <c r="E6">
        <v>45</v>
      </c>
      <c r="G6" s="7" t="s">
        <v>28</v>
      </c>
      <c r="H6">
        <v>540</v>
      </c>
    </row>
    <row r="7" spans="1:8" x14ac:dyDescent="0.3">
      <c r="A7" s="7" t="s">
        <v>22</v>
      </c>
      <c r="D7">
        <v>1430</v>
      </c>
      <c r="E7">
        <v>1430</v>
      </c>
      <c r="G7" s="7" t="s">
        <v>24</v>
      </c>
      <c r="H7">
        <v>2175</v>
      </c>
    </row>
    <row r="8" spans="1:8" x14ac:dyDescent="0.3">
      <c r="A8" s="8" t="s">
        <v>21</v>
      </c>
      <c r="D8">
        <v>1430</v>
      </c>
      <c r="E8">
        <v>1430</v>
      </c>
      <c r="G8" s="7" t="s">
        <v>36</v>
      </c>
      <c r="H8">
        <v>4190</v>
      </c>
    </row>
    <row r="9" spans="1:8" x14ac:dyDescent="0.3">
      <c r="A9" s="7" t="s">
        <v>28</v>
      </c>
      <c r="D9">
        <v>540</v>
      </c>
      <c r="E9">
        <v>540</v>
      </c>
    </row>
    <row r="10" spans="1:8" x14ac:dyDescent="0.3">
      <c r="A10" s="8" t="s">
        <v>27</v>
      </c>
      <c r="D10">
        <v>540</v>
      </c>
      <c r="E10">
        <v>540</v>
      </c>
    </row>
    <row r="11" spans="1:8" x14ac:dyDescent="0.3">
      <c r="A11" s="7" t="s">
        <v>24</v>
      </c>
      <c r="B11">
        <v>1275</v>
      </c>
      <c r="D11">
        <v>900</v>
      </c>
      <c r="E11">
        <v>2175</v>
      </c>
    </row>
    <row r="12" spans="1:8" x14ac:dyDescent="0.3">
      <c r="A12" s="8" t="s">
        <v>29</v>
      </c>
      <c r="D12">
        <v>600</v>
      </c>
      <c r="E12">
        <v>600</v>
      </c>
    </row>
    <row r="13" spans="1:8" x14ac:dyDescent="0.3">
      <c r="A13" s="8" t="s">
        <v>23</v>
      </c>
      <c r="B13">
        <v>1275</v>
      </c>
      <c r="D13">
        <v>300</v>
      </c>
      <c r="E13">
        <v>1575</v>
      </c>
    </row>
    <row r="14" spans="1:8" x14ac:dyDescent="0.3">
      <c r="A14" s="7" t="s">
        <v>36</v>
      </c>
      <c r="B14">
        <v>1275</v>
      </c>
      <c r="C14">
        <v>45</v>
      </c>
      <c r="D14">
        <v>2870</v>
      </c>
      <c r="E14">
        <v>4190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4CB59-E841-48DC-BDE4-0B31B439261C}">
  <dimension ref="A1:E2"/>
  <sheetViews>
    <sheetView showGridLines="0" workbookViewId="0">
      <selection activeCell="E22" sqref="E22"/>
    </sheetView>
  </sheetViews>
  <sheetFormatPr defaultColWidth="15.88671875" defaultRowHeight="14.4" x14ac:dyDescent="0.3"/>
  <cols>
    <col min="1" max="1" width="21.44140625" customWidth="1"/>
    <col min="3" max="3" width="18.77734375" customWidth="1"/>
    <col min="5" max="5" width="28.33203125" customWidth="1"/>
  </cols>
  <sheetData>
    <row r="1" spans="1:5" ht="18" x14ac:dyDescent="0.35">
      <c r="A1" s="9" t="s">
        <v>44</v>
      </c>
      <c r="C1" s="9" t="s">
        <v>42</v>
      </c>
      <c r="E1" s="9" t="s">
        <v>43</v>
      </c>
    </row>
    <row r="2" spans="1:5" ht="21" x14ac:dyDescent="0.4">
      <c r="A2" s="10">
        <f>SUM('Clean Data Warehouse'!D2:D8)</f>
        <v>47</v>
      </c>
      <c r="C2" s="10">
        <f>SUM('Clean Data Warehouse'!I2:I8)</f>
        <v>4190</v>
      </c>
      <c r="E2" s="10">
        <f>COUNTA('Clean Data Warehouse'!A2:A8)</f>
        <v>7</v>
      </c>
    </row>
  </sheetData>
  <sheetProtection sheet="1" objects="1" scenarios="1" selectLockedCells="1" selectUn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B90A16-A5A7-4A43-90AE-09B6412561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Orders</vt:lpstr>
      <vt:lpstr>Master Customers</vt:lpstr>
      <vt:lpstr>Product Catalog</vt:lpstr>
      <vt:lpstr>Master Customers Query</vt:lpstr>
      <vt:lpstr>Product Catalog Query</vt:lpstr>
      <vt:lpstr>Clean Data Warehouse</vt:lpstr>
      <vt:lpstr>Pivot Analysis</vt:lpstr>
      <vt:lpstr>Executive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mariashaikh.089@outlook.com</dc:creator>
  <cp:lastModifiedBy>mariashaikh.089@outlook.com</cp:lastModifiedBy>
  <dcterms:created xsi:type="dcterms:W3CDTF">2026-10-18T15:05:21Z</dcterms:created>
  <dcterms:modified xsi:type="dcterms:W3CDTF">2026-10-18T17:07:42Z</dcterms:modified>
</cp:coreProperties>
</file>