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9" documentId="8_{110B7BF2-CFCC-4CC3-B780-078DCE5A1979}" xr6:coauthVersionLast="47" xr6:coauthVersionMax="47" xr10:uidLastSave="{FE96ACC3-6C80-41D0-A77C-D05A5CBE4E89}"/>
  <bookViews>
    <workbookView xWindow="-108" yWindow="-108" windowWidth="23256" windowHeight="13896" xr2:uid="{00000000-000D-0000-FFFF-FFFF00000000}"/>
  </bookViews>
  <sheets>
    <sheet name="Sheet1" sheetId="2" r:id="rId1"/>
    <sheet name="Data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<sst xmlns="http://schemas.openxmlformats.org/spreadsheetml/2006/main" count="646" uniqueCount="32">
  <si>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</si>
  <si>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</si>
  <si>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</si>
  <si>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</si>
  <si>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</si>
  <si>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</si>
  <si>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</si>
  <si>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</si>
  <si>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</si>
  <si>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</si>
  <si>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</si>
  <si>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</si>
  <si>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</si>
  <si>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</si>
  <si>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</si>
  <si>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</si>
  <si>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</si>
  <si>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</si>
  <si>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</si>
  <si>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</si>
  <si>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</si>
  <si>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</si>
  <si>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</si>
  <si>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</si>
  <si>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</si>
  <si>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</si>
  <si>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Sum of Revenues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</si>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</sst>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-* #,##0_-;\-* #,##0_-;_-* &quot;-&quot;??_-;_-@"/>
    <numFmt numFmtId="166" formatCode="[$$-1009]#,##0;\-[$$-1009]#,##0"/>
  </numFmts>
  <fonts count="6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applyBorder="1"/>
    <xf numFmtId="166" fontId="0" fillId="0" borderId="0" xfId="0" applyNumberFormat="1" applyBorder="1"/>
    <xf numFmtId="166" fontId="0" fillId="0" borderId="2" xfId="0" applyNumberFormat="1" applyBorder="1"/>
    <xf numFmtId="0" fontId="0" fillId="0" borderId="3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pivotButton="1" applyBorder="1"/>
    <xf numFmtId="0" fontId="0" fillId="0" borderId="7" xfId="0" applyBorder="1"/>
    <xf numFmtId="0" fontId="0" fillId="0" borderId="6" xfId="0" applyBorder="1" applyAlignment="1">
      <alignment horizontal="left"/>
    </xf>
    <xf numFmtId="166" fontId="0" fillId="0" borderId="7" xfId="0" applyNumberFormat="1" applyBorder="1"/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left" indent="2"/>
    </xf>
    <xf numFmtId="0" fontId="0" fillId="0" borderId="8" xfId="0" applyBorder="1" applyAlignment="1">
      <alignment horizontal="left"/>
    </xf>
    <xf numFmtId="166" fontId="0" fillId="0" borderId="9" xfId="0" applyNumberFormat="1" applyBorder="1"/>
  </cellXfs>
  <cellStyles count="1">
    <cellStyle name="Normal" xfId="0" builtinId="0"/>
  </cellStyles>
  <dxfs count="1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 Shaikh" refreshedDate="46307.729833333331" createdVersion="8" refreshedVersion="8" minRefreshableVersion="3" recordCount="199" xr:uid="{7C57A595-E3AA-4AC1-8E11-FCECCF39B744}">
  <cacheSource type="worksheet">
    <worksheetSource ref="B2:K201" sheet="Data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1BCCF-3C69-476B-B598-9CE91ADF7F5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 sortType="ascending">
      <items count="6">
        <item x="4"/>
        <item x="2"/>
        <item x="0"/>
        <item x="3"/>
        <item x="1"/>
        <item t="default"/>
      </items>
    </pivotField>
    <pivotField axis="axisCol"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2"/>
    <field x="11"/>
    <field x="10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s" fld="8" baseField="2" baseItem="0" numFmtId="166"/>
  </dataFields>
  <formats count="20">
    <format dxfId="3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2" count="1" selected="0">
            <x v="0"/>
          </reference>
          <reference field="11" count="1">
            <x v="1"/>
          </reference>
        </references>
      </pivotArea>
    </format>
    <format dxfId="10">
      <pivotArea dataOnly="0" labelOnly="1" fieldPosition="0">
        <references count="2">
          <reference field="2" count="1" selected="0">
            <x v="1"/>
          </reference>
          <reference field="11" count="1">
            <x v="1"/>
          </reference>
        </references>
      </pivotArea>
    </format>
    <format dxfId="9">
      <pivotArea dataOnly="0" labelOnly="1" fieldPosition="0">
        <references count="2">
          <reference field="2" count="1" selected="0">
            <x v="2"/>
          </reference>
          <reference field="11" count="1">
            <x v="1"/>
          </reference>
        </references>
      </pivotArea>
    </format>
    <format dxfId="8">
      <pivotArea dataOnly="0" labelOnly="1" fieldPosition="0">
        <references count="2">
          <reference field="2" count="1" selected="0">
            <x v="3"/>
          </reference>
          <reference field="11" count="1">
            <x v="1"/>
          </reference>
        </references>
      </pivotArea>
    </format>
    <format dxfId="7">
      <pivotArea dataOnly="0" labelOnly="1" fieldPosition="0">
        <references count="2">
          <reference field="2" count="1" selected="0">
            <x v="4"/>
          </reference>
          <reference field="11" count="1">
            <x v="1"/>
          </reference>
        </references>
      </pivotArea>
    </format>
    <format dxfId="6">
      <pivotArea dataOnly="0" labelOnly="1" fieldPosition="0">
        <references count="3">
          <reference field="2" count="1" selected="0">
            <x v="0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5">
      <pivotArea dataOnly="0" labelOnly="1" fieldPosition="0">
        <references count="3">
          <reference field="2" count="1" selected="0">
            <x v="1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4">
      <pivotArea dataOnly="0" labelOnly="1" fieldPosition="0">
        <references count="3">
          <reference field="2" count="1" selected="0">
            <x v="2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3">
      <pivotArea dataOnly="0" labelOnly="1" fieldPosition="0">
        <references count="3">
          <reference field="2" count="1" selected="0">
            <x v="3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2">
      <pivotArea dataOnly="0" labelOnly="1" fieldPosition="0">
        <references count="3">
          <reference field="2" count="1" selected="0">
            <x v="4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23A15-120E-449A-9C3D-0AEBB8F7C3A2}" name="Table4" displayName="Table4" ref="B2:K201" totalsRowShown="0" headerRowDxfId="123" dataDxfId="124" headerRowBorderDxfId="135">
  <autoFilter ref="B2:K201" xr:uid="{02323A15-120E-449A-9C3D-0AEBB8F7C3A2}"/>
  <sortState xmlns:xlrd2="http://schemas.microsoft.com/office/spreadsheetml/2017/richdata2" ref="B3:K201">
    <sortCondition ref="B2:B201"/>
  </sortState>
  <tableColumns count="10">
    <tableColumn id="1" xr3:uid="{1C1519A8-EB13-4B05-93D6-F4E0B38166F8}" name="ID Number" dataDxfId="134"/>
    <tableColumn id="2" xr3:uid="{37E618AA-F084-4BD8-BAFE-31330DC2766E}" name="Date" dataDxfId="133"/>
    <tableColumn id="3" xr3:uid="{F11715CD-DCB9-496A-820E-3410A19F41A5}" name="Product" dataDxfId="132"/>
    <tableColumn id="4" xr3:uid="{ABF08E08-293C-4391-B1E8-8E8430AA8AB5}" name="Region" dataDxfId="131"/>
    <tableColumn id="5" xr3:uid="{F5FB0AE1-774D-4B8A-AC97-E833225AB2DC}" name="Sales Method" dataDxfId="130"/>
    <tableColumn id="6" xr3:uid="{70B1B8FE-F8B7-488D-8F86-6D7D49444FF8}" name="Price per unit" dataDxfId="129"/>
    <tableColumn id="7" xr3:uid="{AC3B8DE4-98B5-414F-B5EC-FB12BEC0505E}" name="Cost per unit" dataDxfId="128"/>
    <tableColumn id="8" xr3:uid="{B342CF9E-76C9-48A2-B4B3-15D9A4862372}" name="Quantity" dataDxfId="127"/>
    <tableColumn id="9" xr3:uid="{C93814D8-EE44-4CF5-B409-B59807BD1BCA}" name="Revenues" dataDxfId="126"/>
    <tableColumn id="10" xr3:uid="{41DD6178-4D7E-4F4C-B660-8806BCE5A43F}" name="Expenses" dataDxfId="1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1033-5D94-41F0-941A-646D39941AAC}">
  <dimension ref="A3:F35"/>
  <sheetViews>
    <sheetView tabSelected="1" workbookViewId="0">
      <selection activeCell="G8" sqref="G8"/>
    </sheetView>
  </sheetViews>
  <sheetFormatPr defaultColWidth="17.3984375" defaultRowHeight="15.6" x14ac:dyDescent="0.3"/>
  <sheetData>
    <row r="3" spans="1:6" x14ac:dyDescent="0.3">
      <c r="A3" s="16" t="s">
        <v>26</v>
      </c>
      <c r="B3" s="17" t="s">
        <v>25</v>
      </c>
      <c r="C3" s="18"/>
      <c r="D3" s="18"/>
      <c r="E3" s="18"/>
      <c r="F3" s="19"/>
    </row>
    <row r="4" spans="1:6" x14ac:dyDescent="0.3">
      <c r="A4" s="20" t="s">
        <v>23</v>
      </c>
      <c r="B4" s="13" t="s">
        <v>16</v>
      </c>
      <c r="C4" s="13" t="s">
        <v>11</v>
      </c>
      <c r="D4" s="13" t="s">
        <v>13</v>
      </c>
      <c r="E4" s="13" t="s">
        <v>19</v>
      </c>
      <c r="F4" s="21" t="s">
        <v>24</v>
      </c>
    </row>
    <row r="5" spans="1:6" x14ac:dyDescent="0.3">
      <c r="A5" s="22" t="s">
        <v>22</v>
      </c>
      <c r="B5" s="14">
        <v>1686172.9000000004</v>
      </c>
      <c r="C5" s="14">
        <v>1492137.8</v>
      </c>
      <c r="D5" s="14">
        <v>2595655</v>
      </c>
      <c r="E5" s="14">
        <v>1928765</v>
      </c>
      <c r="F5" s="23">
        <v>7702730.7000000011</v>
      </c>
    </row>
    <row r="6" spans="1:6" x14ac:dyDescent="0.3">
      <c r="A6" s="24" t="s">
        <v>27</v>
      </c>
      <c r="B6" s="14">
        <v>1686172.9000000004</v>
      </c>
      <c r="C6" s="14">
        <v>1492137.8</v>
      </c>
      <c r="D6" s="14">
        <v>2595655</v>
      </c>
      <c r="E6" s="14">
        <v>1928765</v>
      </c>
      <c r="F6" s="23">
        <v>7702730.7000000011</v>
      </c>
    </row>
    <row r="7" spans="1:6" x14ac:dyDescent="0.3">
      <c r="A7" s="25" t="s">
        <v>28</v>
      </c>
      <c r="B7" s="14">
        <v>62704.9</v>
      </c>
      <c r="C7" s="14">
        <v>125549.1</v>
      </c>
      <c r="D7" s="14">
        <v>73371.3</v>
      </c>
      <c r="E7" s="14">
        <v>208094.3</v>
      </c>
      <c r="F7" s="23">
        <v>469719.6</v>
      </c>
    </row>
    <row r="8" spans="1:6" x14ac:dyDescent="0.3">
      <c r="A8" s="25" t="s">
        <v>29</v>
      </c>
      <c r="B8" s="14">
        <v>33412.1</v>
      </c>
      <c r="C8" s="14">
        <v>79719.400000000009</v>
      </c>
      <c r="D8" s="14">
        <v>519350.2</v>
      </c>
      <c r="E8" s="14">
        <v>313325.5</v>
      </c>
      <c r="F8" s="23">
        <v>945807.2</v>
      </c>
    </row>
    <row r="9" spans="1:6" x14ac:dyDescent="0.3">
      <c r="A9" s="25" t="s">
        <v>30</v>
      </c>
      <c r="B9" s="14">
        <v>1202389.0000000002</v>
      </c>
      <c r="C9" s="14"/>
      <c r="D9" s="14">
        <v>1226706.8999999999</v>
      </c>
      <c r="E9" s="14">
        <v>436269.70000000007</v>
      </c>
      <c r="F9" s="23">
        <v>2865365.6000000006</v>
      </c>
    </row>
    <row r="10" spans="1:6" x14ac:dyDescent="0.3">
      <c r="A10" s="25" t="s">
        <v>31</v>
      </c>
      <c r="B10" s="14">
        <v>387666.9</v>
      </c>
      <c r="C10" s="14">
        <v>1286869.3</v>
      </c>
      <c r="D10" s="14">
        <v>776226.60000000009</v>
      </c>
      <c r="E10" s="14">
        <v>971075.50000000012</v>
      </c>
      <c r="F10" s="23">
        <v>3421838.3000000003</v>
      </c>
    </row>
    <row r="11" spans="1:6" x14ac:dyDescent="0.3">
      <c r="A11" s="22" t="s">
        <v>18</v>
      </c>
      <c r="B11" s="14">
        <v>2838833.1</v>
      </c>
      <c r="C11" s="14">
        <v>208344.3</v>
      </c>
      <c r="D11" s="14">
        <v>1106916</v>
      </c>
      <c r="E11" s="14">
        <v>1469636.6</v>
      </c>
      <c r="F11" s="23">
        <v>5623730</v>
      </c>
    </row>
    <row r="12" spans="1:6" x14ac:dyDescent="0.3">
      <c r="A12" s="24" t="s">
        <v>27</v>
      </c>
      <c r="B12" s="14">
        <v>2838833.1</v>
      </c>
      <c r="C12" s="14">
        <v>208344.3</v>
      </c>
      <c r="D12" s="14">
        <v>1106916</v>
      </c>
      <c r="E12" s="14">
        <v>1469636.6</v>
      </c>
      <c r="F12" s="23">
        <v>5623730</v>
      </c>
    </row>
    <row r="13" spans="1:6" x14ac:dyDescent="0.3">
      <c r="A13" s="25" t="s">
        <v>28</v>
      </c>
      <c r="B13" s="14">
        <v>226541.80000000002</v>
      </c>
      <c r="C13" s="14"/>
      <c r="D13" s="14">
        <v>421636.10000000003</v>
      </c>
      <c r="E13" s="14">
        <v>298901</v>
      </c>
      <c r="F13" s="23">
        <v>947078.9</v>
      </c>
    </row>
    <row r="14" spans="1:6" x14ac:dyDescent="0.3">
      <c r="A14" s="25" t="s">
        <v>29</v>
      </c>
      <c r="B14" s="14">
        <v>882626.5</v>
      </c>
      <c r="C14" s="14">
        <v>68705.3</v>
      </c>
      <c r="D14" s="14">
        <v>211926.2</v>
      </c>
      <c r="E14" s="14">
        <v>75114.600000000006</v>
      </c>
      <c r="F14" s="23">
        <v>1238372.6000000001</v>
      </c>
    </row>
    <row r="15" spans="1:6" x14ac:dyDescent="0.3">
      <c r="A15" s="25" t="s">
        <v>30</v>
      </c>
      <c r="B15" s="14">
        <v>835374.90000000014</v>
      </c>
      <c r="C15" s="14">
        <v>139639</v>
      </c>
      <c r="D15" s="14">
        <v>220602.6</v>
      </c>
      <c r="E15" s="14">
        <v>541297.4</v>
      </c>
      <c r="F15" s="23">
        <v>1736913.9000000004</v>
      </c>
    </row>
    <row r="16" spans="1:6" x14ac:dyDescent="0.3">
      <c r="A16" s="25" t="s">
        <v>31</v>
      </c>
      <c r="B16" s="14">
        <v>894289.9</v>
      </c>
      <c r="C16" s="14"/>
      <c r="D16" s="14">
        <v>252751.1</v>
      </c>
      <c r="E16" s="14">
        <v>554323.6</v>
      </c>
      <c r="F16" s="23">
        <v>1701364.6</v>
      </c>
    </row>
    <row r="17" spans="1:6" x14ac:dyDescent="0.3">
      <c r="A17" s="22" t="s">
        <v>10</v>
      </c>
      <c r="B17" s="14">
        <v>3123803.7</v>
      </c>
      <c r="C17" s="14">
        <v>2921730.6000000006</v>
      </c>
      <c r="D17" s="14">
        <v>2008357.8</v>
      </c>
      <c r="E17" s="14">
        <v>656730.70000000007</v>
      </c>
      <c r="F17" s="23">
        <v>8710622.8000000007</v>
      </c>
    </row>
    <row r="18" spans="1:6" x14ac:dyDescent="0.3">
      <c r="A18" s="24" t="s">
        <v>27</v>
      </c>
      <c r="B18" s="14">
        <v>3123803.7</v>
      </c>
      <c r="C18" s="14">
        <v>2921730.6000000006</v>
      </c>
      <c r="D18" s="14">
        <v>2008357.8</v>
      </c>
      <c r="E18" s="14">
        <v>656730.70000000007</v>
      </c>
      <c r="F18" s="23">
        <v>8710622.8000000007</v>
      </c>
    </row>
    <row r="19" spans="1:6" x14ac:dyDescent="0.3">
      <c r="A19" s="25" t="s">
        <v>28</v>
      </c>
      <c r="B19" s="14">
        <v>1566514.6</v>
      </c>
      <c r="C19" s="14">
        <v>667202.9</v>
      </c>
      <c r="D19" s="14">
        <v>574996.80000000005</v>
      </c>
      <c r="E19" s="14"/>
      <c r="F19" s="23">
        <v>2808714.3</v>
      </c>
    </row>
    <row r="20" spans="1:6" x14ac:dyDescent="0.3">
      <c r="A20" s="25" t="s">
        <v>29</v>
      </c>
      <c r="B20" s="14">
        <v>528728.9</v>
      </c>
      <c r="C20" s="14">
        <v>234966.2</v>
      </c>
      <c r="D20" s="14">
        <v>342778.1</v>
      </c>
      <c r="E20" s="14">
        <v>287498.40000000002</v>
      </c>
      <c r="F20" s="23">
        <v>1393971.6</v>
      </c>
    </row>
    <row r="21" spans="1:6" x14ac:dyDescent="0.3">
      <c r="A21" s="25" t="s">
        <v>30</v>
      </c>
      <c r="B21" s="14">
        <v>656560.70000000007</v>
      </c>
      <c r="C21" s="14">
        <v>1321290.3</v>
      </c>
      <c r="D21" s="14">
        <v>632687.4</v>
      </c>
      <c r="E21" s="14">
        <v>289512.90000000002</v>
      </c>
      <c r="F21" s="23">
        <v>2900051.3</v>
      </c>
    </row>
    <row r="22" spans="1:6" x14ac:dyDescent="0.3">
      <c r="A22" s="25" t="s">
        <v>31</v>
      </c>
      <c r="B22" s="14">
        <v>371999.5</v>
      </c>
      <c r="C22" s="14">
        <v>698271.2</v>
      </c>
      <c r="D22" s="14">
        <v>457895.50000000006</v>
      </c>
      <c r="E22" s="14">
        <v>79719.400000000009</v>
      </c>
      <c r="F22" s="23">
        <v>1607885.5999999999</v>
      </c>
    </row>
    <row r="23" spans="1:6" x14ac:dyDescent="0.3">
      <c r="A23" s="22" t="s">
        <v>21</v>
      </c>
      <c r="B23" s="14">
        <v>1283066.3000000003</v>
      </c>
      <c r="C23" s="14">
        <v>734702.5</v>
      </c>
      <c r="D23" s="14">
        <v>731919.4</v>
      </c>
      <c r="E23" s="14">
        <v>782139.30000000016</v>
      </c>
      <c r="F23" s="23">
        <v>3531827.5</v>
      </c>
    </row>
    <row r="24" spans="1:6" x14ac:dyDescent="0.3">
      <c r="A24" s="24" t="s">
        <v>27</v>
      </c>
      <c r="B24" s="14">
        <v>1283066.3000000003</v>
      </c>
      <c r="C24" s="14">
        <v>734702.5</v>
      </c>
      <c r="D24" s="14">
        <v>731919.4</v>
      </c>
      <c r="E24" s="14">
        <v>782139.30000000016</v>
      </c>
      <c r="F24" s="23">
        <v>3531827.5</v>
      </c>
    </row>
    <row r="25" spans="1:6" x14ac:dyDescent="0.3">
      <c r="A25" s="25" t="s">
        <v>28</v>
      </c>
      <c r="B25" s="14">
        <v>131063.10000000002</v>
      </c>
      <c r="C25" s="14">
        <v>51679.9</v>
      </c>
      <c r="D25" s="14">
        <v>139639</v>
      </c>
      <c r="E25" s="14">
        <v>202454.1</v>
      </c>
      <c r="F25" s="23">
        <v>524836.1</v>
      </c>
    </row>
    <row r="26" spans="1:6" x14ac:dyDescent="0.3">
      <c r="A26" s="25" t="s">
        <v>29</v>
      </c>
      <c r="B26" s="14">
        <v>359649</v>
      </c>
      <c r="C26" s="14"/>
      <c r="D26" s="14">
        <v>94694.1</v>
      </c>
      <c r="E26" s="14">
        <v>318969.60000000003</v>
      </c>
      <c r="F26" s="23">
        <v>773312.7</v>
      </c>
    </row>
    <row r="27" spans="1:6" x14ac:dyDescent="0.3">
      <c r="A27" s="25" t="s">
        <v>30</v>
      </c>
      <c r="B27" s="14">
        <v>450585.80000000005</v>
      </c>
      <c r="C27" s="14">
        <v>421636.10000000003</v>
      </c>
      <c r="D27" s="14">
        <v>436373.9</v>
      </c>
      <c r="E27" s="14">
        <v>203980.7</v>
      </c>
      <c r="F27" s="23">
        <v>1512576.5000000002</v>
      </c>
    </row>
    <row r="28" spans="1:6" x14ac:dyDescent="0.3">
      <c r="A28" s="25" t="s">
        <v>31</v>
      </c>
      <c r="B28" s="14">
        <v>341768.4</v>
      </c>
      <c r="C28" s="14">
        <v>261386.5</v>
      </c>
      <c r="D28" s="14">
        <v>61212.4</v>
      </c>
      <c r="E28" s="14">
        <v>56734.9</v>
      </c>
      <c r="F28" s="23">
        <v>721102.20000000007</v>
      </c>
    </row>
    <row r="29" spans="1:6" x14ac:dyDescent="0.3">
      <c r="A29" s="22" t="s">
        <v>15</v>
      </c>
      <c r="B29" s="14">
        <v>4794482.7</v>
      </c>
      <c r="C29" s="14">
        <v>813693.60000000009</v>
      </c>
      <c r="D29" s="14">
        <v>1514435.0000000002</v>
      </c>
      <c r="E29" s="14">
        <v>3426326.2</v>
      </c>
      <c r="F29" s="23">
        <v>10548937.500000002</v>
      </c>
    </row>
    <row r="30" spans="1:6" x14ac:dyDescent="0.3">
      <c r="A30" s="24" t="s">
        <v>27</v>
      </c>
      <c r="B30" s="14">
        <v>4794482.7</v>
      </c>
      <c r="C30" s="14">
        <v>813693.60000000009</v>
      </c>
      <c r="D30" s="14">
        <v>1514435.0000000002</v>
      </c>
      <c r="E30" s="14">
        <v>3426326.2</v>
      </c>
      <c r="F30" s="23">
        <v>10548937.500000002</v>
      </c>
    </row>
    <row r="31" spans="1:6" x14ac:dyDescent="0.3">
      <c r="A31" s="25" t="s">
        <v>28</v>
      </c>
      <c r="B31" s="14">
        <v>1929274.8000000003</v>
      </c>
      <c r="C31" s="14">
        <v>435424.80000000005</v>
      </c>
      <c r="D31" s="14">
        <v>549996.60000000009</v>
      </c>
      <c r="E31" s="14">
        <v>649889.69999999995</v>
      </c>
      <c r="F31" s="23">
        <v>3564585.9000000004</v>
      </c>
    </row>
    <row r="32" spans="1:6" x14ac:dyDescent="0.3">
      <c r="A32" s="25" t="s">
        <v>29</v>
      </c>
      <c r="B32" s="14">
        <v>1098304.5</v>
      </c>
      <c r="C32" s="14">
        <v>161076</v>
      </c>
      <c r="D32" s="14"/>
      <c r="E32" s="14">
        <v>1566074.4</v>
      </c>
      <c r="F32" s="23">
        <v>2825454.9</v>
      </c>
    </row>
    <row r="33" spans="1:6" x14ac:dyDescent="0.3">
      <c r="A33" s="25" t="s">
        <v>30</v>
      </c>
      <c r="B33" s="14">
        <v>1062557.1000000001</v>
      </c>
      <c r="C33" s="14">
        <v>217192.80000000002</v>
      </c>
      <c r="D33" s="14">
        <v>707623.70000000007</v>
      </c>
      <c r="E33" s="14">
        <v>536448.70000000007</v>
      </c>
      <c r="F33" s="23">
        <v>2523822.3000000003</v>
      </c>
    </row>
    <row r="34" spans="1:6" x14ac:dyDescent="0.3">
      <c r="A34" s="25" t="s">
        <v>31</v>
      </c>
      <c r="B34" s="14">
        <v>704346.3</v>
      </c>
      <c r="C34" s="14"/>
      <c r="D34" s="14">
        <v>256814.7</v>
      </c>
      <c r="E34" s="14">
        <v>673913.40000000014</v>
      </c>
      <c r="F34" s="23">
        <v>1635074.4000000001</v>
      </c>
    </row>
    <row r="35" spans="1:6" x14ac:dyDescent="0.3">
      <c r="A35" s="26" t="s">
        <v>24</v>
      </c>
      <c r="B35" s="15">
        <v>13726358.700000003</v>
      </c>
      <c r="C35" s="15">
        <v>6170608.7999999998</v>
      </c>
      <c r="D35" s="15">
        <v>7957283.2000000011</v>
      </c>
      <c r="E35" s="15">
        <v>8263597.7999999998</v>
      </c>
      <c r="F35" s="27">
        <v>36117848.5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zoomScale="97" workbookViewId="0">
      <selection activeCell="M4" sqref="M4"/>
    </sheetView>
  </sheetViews>
  <sheetFormatPr defaultColWidth="11.19921875" defaultRowHeight="15" customHeight="1" x14ac:dyDescent="0.3"/>
  <cols>
    <col min="1" max="1" width="3.8984375" customWidth="1"/>
    <col min="2" max="2" width="11.69921875" customWidth="1"/>
    <col min="3" max="3" width="10.69921875" customWidth="1"/>
    <col min="4" max="4" width="9.19921875" customWidth="1"/>
    <col min="5" max="5" width="13.09765625" customWidth="1"/>
    <col min="6" max="6" width="14" customWidth="1"/>
    <col min="7" max="7" width="13.8984375" customWidth="1"/>
    <col min="8" max="8" width="13.5" customWidth="1"/>
    <col min="9" max="9" width="10" customWidth="1"/>
    <col min="10" max="25" width="10.69921875" customWidth="1"/>
  </cols>
  <sheetData>
    <row r="1" spans="2:13" ht="15.75" customHeight="1" x14ac:dyDescent="0.3"/>
    <row r="2" spans="2:13" ht="15.7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</row>
    <row r="3" spans="2:13" ht="15.75" customHeight="1" x14ac:dyDescent="0.3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>
        <f>SUM(J:J)</f>
        <v>36117848.500000015</v>
      </c>
    </row>
    <row r="4" spans="2:13" ht="15.75" customHeight="1" x14ac:dyDescent="0.3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</row>
    <row r="5" spans="2:13" ht="15.75" customHeight="1" x14ac:dyDescent="0.3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</row>
    <row r="6" spans="2:13" ht="15.75" customHeight="1" x14ac:dyDescent="0.3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</row>
    <row r="7" spans="2:13" ht="15.75" customHeight="1" x14ac:dyDescent="0.3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</row>
    <row r="8" spans="2:13" ht="15.75" customHeight="1" x14ac:dyDescent="0.3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</row>
    <row r="9" spans="2:13" ht="15.75" customHeight="1" x14ac:dyDescent="0.3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</row>
    <row r="10" spans="2:13" ht="15.75" customHeight="1" x14ac:dyDescent="0.3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</row>
    <row r="11" spans="2:13" ht="15.75" customHeight="1" x14ac:dyDescent="0.3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</row>
    <row r="12" spans="2:13" ht="15.75" customHeight="1" x14ac:dyDescent="0.3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</row>
    <row r="13" spans="2:13" ht="15.75" customHeight="1" x14ac:dyDescent="0.3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</row>
    <row r="14" spans="2:13" ht="15.75" customHeight="1" x14ac:dyDescent="0.3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</row>
    <row r="15" spans="2:13" ht="15.75" customHeight="1" x14ac:dyDescent="0.3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</row>
    <row r="16" spans="2:13" ht="15.75" customHeight="1" x14ac:dyDescent="0.3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</row>
    <row r="17" spans="2:12" ht="15.75" customHeight="1" x14ac:dyDescent="0.3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</row>
    <row r="18" spans="2:12" ht="15.75" customHeight="1" x14ac:dyDescent="0.3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</row>
    <row r="19" spans="2:12" ht="15.75" customHeight="1" x14ac:dyDescent="0.3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</row>
    <row r="20" spans="2:12" ht="15.75" customHeight="1" x14ac:dyDescent="0.3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</row>
    <row r="21" spans="2:12" ht="15.75" customHeight="1" x14ac:dyDescent="0.3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</row>
    <row r="22" spans="2:12" ht="15.75" customHeight="1" x14ac:dyDescent="0.3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</row>
    <row r="23" spans="2:12" ht="15.75" customHeight="1" x14ac:dyDescent="0.3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</row>
    <row r="24" spans="2:12" ht="15.75" customHeight="1" x14ac:dyDescent="0.3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</row>
    <row r="25" spans="2:12" ht="15.75" customHeight="1" x14ac:dyDescent="0.3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</row>
    <row r="26" spans="2:12" ht="15.75" customHeight="1" x14ac:dyDescent="0.3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</row>
    <row r="27" spans="2:12" ht="15.75" customHeight="1" x14ac:dyDescent="0.3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</row>
    <row r="28" spans="2:12" ht="15.75" customHeight="1" x14ac:dyDescent="0.3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</row>
    <row r="29" spans="2:12" ht="15.75" customHeight="1" x14ac:dyDescent="0.3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</row>
    <row r="30" spans="2:12" ht="15.75" customHeight="1" x14ac:dyDescent="0.3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</row>
    <row r="31" spans="2:12" ht="15.75" customHeight="1" x14ac:dyDescent="0.3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</row>
    <row r="32" spans="2:12" ht="15.75" customHeight="1" x14ac:dyDescent="0.3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</row>
    <row r="33" spans="2:12" ht="15.75" customHeight="1" x14ac:dyDescent="0.3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</row>
    <row r="34" spans="2:12" ht="15.75" customHeight="1" x14ac:dyDescent="0.3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</row>
    <row r="35" spans="2:12" ht="15.75" customHeight="1" x14ac:dyDescent="0.3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</row>
    <row r="36" spans="2:12" ht="15.75" customHeight="1" x14ac:dyDescent="0.3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</row>
    <row r="37" spans="2:12" ht="15.75" customHeight="1" x14ac:dyDescent="0.3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</row>
    <row r="38" spans="2:12" ht="15.75" customHeight="1" x14ac:dyDescent="0.3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</row>
    <row r="39" spans="2:12" ht="15.75" customHeight="1" x14ac:dyDescent="0.3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</row>
    <row r="40" spans="2:12" ht="15.75" customHeight="1" x14ac:dyDescent="0.3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</row>
    <row r="41" spans="2:12" ht="15.75" customHeight="1" x14ac:dyDescent="0.3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</row>
    <row r="42" spans="2:12" ht="15.75" customHeight="1" x14ac:dyDescent="0.3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</row>
    <row r="43" spans="2:12" ht="15.75" customHeight="1" x14ac:dyDescent="0.3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</row>
    <row r="44" spans="2:12" ht="15.75" customHeight="1" x14ac:dyDescent="0.3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</row>
    <row r="45" spans="2:12" ht="15.75" customHeight="1" x14ac:dyDescent="0.3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</row>
    <row r="46" spans="2:12" ht="15.75" customHeight="1" x14ac:dyDescent="0.3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</row>
    <row r="47" spans="2:12" ht="15.75" customHeight="1" x14ac:dyDescent="0.3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</row>
    <row r="48" spans="2:12" ht="15.75" customHeight="1" x14ac:dyDescent="0.3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</row>
    <row r="49" spans="2:12" ht="15.75" customHeight="1" x14ac:dyDescent="0.3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</row>
    <row r="50" spans="2:12" ht="15.75" customHeight="1" x14ac:dyDescent="0.3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</row>
    <row r="51" spans="2:12" ht="15.75" customHeight="1" x14ac:dyDescent="0.3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</row>
    <row r="52" spans="2:12" ht="15.75" customHeight="1" x14ac:dyDescent="0.3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</row>
    <row r="53" spans="2:12" ht="15.75" customHeight="1" x14ac:dyDescent="0.3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</row>
    <row r="54" spans="2:12" ht="15.75" customHeight="1" x14ac:dyDescent="0.3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</row>
    <row r="55" spans="2:12" ht="15.75" customHeight="1" x14ac:dyDescent="0.3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</row>
    <row r="56" spans="2:12" ht="15.75" customHeight="1" x14ac:dyDescent="0.3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</row>
    <row r="57" spans="2:12" ht="15.75" customHeight="1" x14ac:dyDescent="0.3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</row>
    <row r="58" spans="2:12" ht="15.75" customHeight="1" x14ac:dyDescent="0.3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</row>
    <row r="59" spans="2:12" ht="15.75" customHeight="1" x14ac:dyDescent="0.3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</row>
    <row r="60" spans="2:12" ht="15.75" customHeight="1" x14ac:dyDescent="0.3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</row>
    <row r="61" spans="2:12" ht="15.75" customHeight="1" x14ac:dyDescent="0.3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</row>
    <row r="62" spans="2:12" ht="15.75" customHeight="1" x14ac:dyDescent="0.3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</row>
    <row r="63" spans="2:12" ht="15.75" customHeight="1" x14ac:dyDescent="0.3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</row>
    <row r="64" spans="2:12" ht="15.75" customHeight="1" x14ac:dyDescent="0.3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</row>
    <row r="65" spans="2:12" ht="15.75" customHeight="1" x14ac:dyDescent="0.3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</row>
    <row r="66" spans="2:12" ht="15.75" customHeight="1" x14ac:dyDescent="0.3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</row>
    <row r="67" spans="2:12" ht="15.75" customHeight="1" x14ac:dyDescent="0.3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</row>
    <row r="68" spans="2:12" ht="15.75" customHeight="1" x14ac:dyDescent="0.3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</row>
    <row r="69" spans="2:12" ht="15.75" customHeight="1" x14ac:dyDescent="0.3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</row>
    <row r="70" spans="2:12" ht="15.75" customHeight="1" x14ac:dyDescent="0.3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</row>
    <row r="71" spans="2:12" ht="15.75" customHeight="1" x14ac:dyDescent="0.3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</row>
    <row r="72" spans="2:12" ht="15.75" customHeight="1" x14ac:dyDescent="0.3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</row>
    <row r="73" spans="2:12" ht="15.75" customHeight="1" x14ac:dyDescent="0.3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</row>
    <row r="74" spans="2:12" ht="15.75" customHeight="1" x14ac:dyDescent="0.3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</row>
    <row r="75" spans="2:12" ht="15.75" customHeight="1" x14ac:dyDescent="0.3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</row>
    <row r="76" spans="2:12" ht="15.75" customHeight="1" x14ac:dyDescent="0.3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</row>
    <row r="77" spans="2:12" ht="15.75" customHeight="1" x14ac:dyDescent="0.3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</row>
    <row r="78" spans="2:12" ht="15.75" customHeight="1" x14ac:dyDescent="0.3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</row>
    <row r="79" spans="2:12" ht="15.75" customHeight="1" x14ac:dyDescent="0.3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</row>
    <row r="80" spans="2:12" ht="15.75" customHeight="1" x14ac:dyDescent="0.3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</row>
    <row r="81" spans="2:12" ht="15.75" customHeight="1" x14ac:dyDescent="0.3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</row>
    <row r="82" spans="2:12" ht="15.75" customHeight="1" x14ac:dyDescent="0.3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</row>
    <row r="83" spans="2:12" ht="15.75" customHeight="1" x14ac:dyDescent="0.3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</row>
    <row r="84" spans="2:12" ht="15.75" customHeight="1" x14ac:dyDescent="0.3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</row>
    <row r="85" spans="2:12" ht="15.75" customHeight="1" x14ac:dyDescent="0.3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</row>
    <row r="86" spans="2:12" ht="15.75" customHeight="1" x14ac:dyDescent="0.3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</row>
    <row r="87" spans="2:12" ht="15.75" customHeight="1" x14ac:dyDescent="0.3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</row>
    <row r="88" spans="2:12" ht="15.75" customHeight="1" x14ac:dyDescent="0.3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</row>
    <row r="89" spans="2:12" ht="15.75" customHeight="1" x14ac:dyDescent="0.3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</row>
    <row r="90" spans="2:12" ht="15.75" customHeight="1" x14ac:dyDescent="0.3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</row>
    <row r="91" spans="2:12" ht="15.75" customHeight="1" x14ac:dyDescent="0.3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</row>
    <row r="92" spans="2:12" ht="15.75" customHeight="1" x14ac:dyDescent="0.3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</row>
    <row r="93" spans="2:12" ht="15.75" customHeight="1" x14ac:dyDescent="0.3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</row>
    <row r="94" spans="2:12" ht="15.75" customHeight="1" x14ac:dyDescent="0.3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</row>
    <row r="95" spans="2:12" ht="15.75" customHeight="1" x14ac:dyDescent="0.3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</row>
    <row r="96" spans="2:12" ht="15.75" customHeight="1" x14ac:dyDescent="0.3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</row>
    <row r="97" spans="2:12" ht="15.75" customHeight="1" x14ac:dyDescent="0.3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</row>
    <row r="98" spans="2:12" ht="15.75" customHeight="1" x14ac:dyDescent="0.3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</row>
    <row r="99" spans="2:12" ht="15.75" customHeight="1" x14ac:dyDescent="0.3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</row>
    <row r="100" spans="2:12" ht="15.75" customHeight="1" x14ac:dyDescent="0.3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</row>
    <row r="101" spans="2:12" ht="15.75" customHeight="1" x14ac:dyDescent="0.3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</row>
    <row r="102" spans="2:12" ht="15.75" customHeight="1" x14ac:dyDescent="0.3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</row>
    <row r="103" spans="2:12" ht="15.75" customHeight="1" x14ac:dyDescent="0.3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2" ht="15.75" customHeight="1" x14ac:dyDescent="0.3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2" ht="15.75" customHeight="1" x14ac:dyDescent="0.3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2" ht="15.75" customHeight="1" x14ac:dyDescent="0.3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2" ht="15.75" customHeight="1" x14ac:dyDescent="0.3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2" ht="15.75" customHeight="1" x14ac:dyDescent="0.3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2" ht="15.75" customHeight="1" x14ac:dyDescent="0.3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2" ht="15.75" customHeight="1" x14ac:dyDescent="0.3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2" ht="15.75" customHeight="1" x14ac:dyDescent="0.3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2" ht="15.75" customHeight="1" x14ac:dyDescent="0.3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3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3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3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3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3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3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3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3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3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3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3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3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3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3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3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3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3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3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3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3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3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3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3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3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3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3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3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3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3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3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3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3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3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3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3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3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3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3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3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3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3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3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3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3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3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3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3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3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3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3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3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3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3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3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3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3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3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3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3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3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3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3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3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3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3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3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3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3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3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3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3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3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3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3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3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3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3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3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3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3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3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3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3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3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3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3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3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3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3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3">
      <c r="C202" s="12"/>
    </row>
    <row r="203" spans="2:11" ht="15.75" customHeight="1" x14ac:dyDescent="0.3">
      <c r="C203" s="12"/>
    </row>
    <row r="204" spans="2:11" ht="15.75" customHeight="1" x14ac:dyDescent="0.3">
      <c r="C204" s="12"/>
    </row>
    <row r="205" spans="2:11" ht="15.75" customHeight="1" x14ac:dyDescent="0.3">
      <c r="C205" s="12"/>
    </row>
    <row r="206" spans="2:11" ht="15.75" customHeight="1" x14ac:dyDescent="0.3">
      <c r="C206" s="12"/>
    </row>
    <row r="207" spans="2:11" ht="15.75" customHeight="1" x14ac:dyDescent="0.3">
      <c r="C207" s="12"/>
    </row>
    <row r="208" spans="2:11" ht="15.75" customHeight="1" x14ac:dyDescent="0.3">
      <c r="C208" s="12"/>
    </row>
    <row r="209" spans="3:3" ht="15.75" customHeight="1" x14ac:dyDescent="0.3">
      <c r="C209" s="12"/>
    </row>
    <row r="210" spans="3:3" ht="15.75" customHeight="1" x14ac:dyDescent="0.3">
      <c r="C210" s="12"/>
    </row>
    <row r="211" spans="3:3" ht="15.75" customHeight="1" x14ac:dyDescent="0.3">
      <c r="C211" s="12"/>
    </row>
    <row r="212" spans="3:3" ht="15.75" customHeight="1" x14ac:dyDescent="0.3">
      <c r="C212" s="12"/>
    </row>
    <row r="213" spans="3:3" ht="15.75" customHeight="1" x14ac:dyDescent="0.3">
      <c r="C213" s="12"/>
    </row>
    <row r="214" spans="3:3" ht="15.75" customHeight="1" x14ac:dyDescent="0.3">
      <c r="C214" s="12"/>
    </row>
    <row r="215" spans="3:3" ht="15.75" customHeight="1" x14ac:dyDescent="0.3">
      <c r="C215" s="12"/>
    </row>
    <row r="216" spans="3:3" ht="15.75" customHeight="1" x14ac:dyDescent="0.3">
      <c r="C216" s="12"/>
    </row>
    <row r="217" spans="3:3" ht="15.75" customHeight="1" x14ac:dyDescent="0.3">
      <c r="C217" s="12"/>
    </row>
    <row r="218" spans="3:3" ht="15.75" customHeight="1" x14ac:dyDescent="0.3">
      <c r="C218" s="12"/>
    </row>
    <row r="219" spans="3:3" ht="15.75" customHeight="1" x14ac:dyDescent="0.3"/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3">
    <cfRule type="duplicateValues" dxfId="121" priority="2"/>
  </conditionalFormatting>
  <conditionalFormatting sqref="B4">
    <cfRule type="duplicateValues" dxfId="120" priority="1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2026-10-12T12:36:36Z</dcterms:created>
  <dcterms:modified xsi:type="dcterms:W3CDTF">2026-10-12T12:39:23Z</dcterms:modified>
</cp:coreProperties>
</file>